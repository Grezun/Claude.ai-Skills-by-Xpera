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ier Pricing Matrix" sheetId="2" state="visible" r:id="rId2"/>
    <sheet name="Deal Economics" sheetId="3" state="visible" r:id="rId3"/>
    <sheet name="Expansion 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;($#,##0.00);&quot;-&quot;"/>
    <numFmt numFmtId="165" formatCode="0.0%;(0.0%);&quot;-&quot;"/>
    <numFmt numFmtId="166" formatCode="$#,##0.0000"/>
    <numFmt numFmtId="167" formatCode="$#,##0;($#,##0);&quot;-&quot;"/>
    <numFmt numFmtId="168" formatCode="#,##0;(#,##0);&quot;-&quot;"/>
    <numFmt numFmtId="169" formatCode="0.00&quot;x&quot;;(0.00&quot;x&quot;);&quot;-&quot;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595959"/>
      <sz val="9"/>
    </font>
    <font>
      <name val="Arial"/>
      <b val="1"/>
      <color rgb="FF1F4E79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i val="1"/>
      <color rgb="FF808080"/>
      <sz val="8"/>
    </font>
    <font>
      <name val="Arial"/>
      <color rgb="FF008000"/>
      <sz val="10"/>
    </font>
    <font>
      <name val="Arial"/>
      <b val="1"/>
      <color rgb="FF0000FF"/>
      <sz val="11"/>
    </font>
    <font>
      <name val="Arial"/>
      <b val="1"/>
      <i val="1"/>
      <color rgb="FF1F4E79"/>
      <sz val="9"/>
    </font>
    <font>
      <name val="Arial"/>
      <i val="1"/>
      <color rgb="FF808080"/>
      <sz val="10"/>
    </font>
    <font>
      <name val="Arial"/>
      <b val="1"/>
      <i val="1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00"/>
      </patternFill>
    </fill>
    <fill>
      <patternFill patternType="solid">
        <fgColor rgb="FFEFF7FF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E8F0FE"/>
      </patternFill>
    </fill>
  </fills>
  <borders count="8">
    <border>
      <left/>
      <right/>
      <top/>
      <bottom/>
      <diagonal/>
    </border>
    <border>
      <bottom style="medium">
        <color rgb="FF1F4E79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 style="medium">
        <color rgb="FF1F4E79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/>
    </xf>
    <xf numFmtId="164" fontId="6" fillId="4" borderId="2" applyAlignment="1" pivotButton="0" quotePrefix="0" xfId="0">
      <alignment horizontal="right"/>
    </xf>
    <xf numFmtId="0" fontId="2" fillId="0" borderId="2" applyAlignment="1" pivotButton="0" quotePrefix="0" xfId="0">
      <alignment horizontal="left" indent="1"/>
    </xf>
    <xf numFmtId="165" fontId="6" fillId="4" borderId="2" applyAlignment="1" pivotButton="0" quotePrefix="0" xfId="0">
      <alignment horizontal="right"/>
    </xf>
    <xf numFmtId="0" fontId="6" fillId="4" borderId="2" applyAlignment="1" pivotButton="0" quotePrefix="0" xfId="0">
      <alignment horizontal="left" indent="1"/>
    </xf>
    <xf numFmtId="0" fontId="0" fillId="0" borderId="2" pivotButton="0" quotePrefix="0" xfId="0"/>
    <xf numFmtId="0" fontId="7" fillId="0" borderId="2" applyAlignment="1" pivotButton="0" quotePrefix="0" xfId="0">
      <alignment horizontal="left"/>
    </xf>
    <xf numFmtId="164" fontId="7" fillId="5" borderId="2" applyAlignment="1" pivotButton="0" quotePrefix="0" xfId="0">
      <alignment horizontal="right"/>
    </xf>
    <xf numFmtId="3" fontId="6" fillId="4" borderId="2" applyAlignment="1" pivotButton="0" quotePrefix="0" xfId="0">
      <alignment horizontal="right"/>
    </xf>
    <xf numFmtId="166" fontId="6" fillId="4" borderId="2" applyAlignment="1" pivotButton="0" quotePrefix="0" xfId="0">
      <alignment horizontal="right"/>
    </xf>
    <xf numFmtId="0" fontId="8" fillId="0" borderId="0" pivotButton="0" quotePrefix="0" xfId="0"/>
    <xf numFmtId="164" fontId="9" fillId="0" borderId="2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4" fontId="7" fillId="6" borderId="2" applyAlignment="1" pivotButton="0" quotePrefix="0" xfId="0">
      <alignment horizontal="right"/>
    </xf>
    <xf numFmtId="164" fontId="10" fillId="4" borderId="2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165" fontId="7" fillId="5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9" fillId="0" borderId="2" applyAlignment="1" pivotButton="0" quotePrefix="0" xfId="0">
      <alignment horizontal="right"/>
    </xf>
    <xf numFmtId="167" fontId="5" fillId="0" borderId="2" applyAlignment="1" pivotButton="0" quotePrefix="0" xfId="0">
      <alignment horizontal="right"/>
    </xf>
    <xf numFmtId="167" fontId="7" fillId="5" borderId="2" applyAlignment="1" pivotButton="0" quotePrefix="0" xfId="0">
      <alignment horizontal="right"/>
    </xf>
    <xf numFmtId="166" fontId="9" fillId="0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5" fillId="0" borderId="2" applyAlignment="1" pivotButton="0" quotePrefix="0" xfId="0">
      <alignment horizontal="right"/>
    </xf>
    <xf numFmtId="164" fontId="7" fillId="7" borderId="2" applyAlignment="1" pivotButton="0" quotePrefix="0" xfId="0">
      <alignment horizontal="right"/>
    </xf>
    <xf numFmtId="0" fontId="11" fillId="8" borderId="2" applyAlignment="1" pivotButton="0" quotePrefix="0" xfId="0">
      <alignment horizontal="left"/>
    </xf>
    <xf numFmtId="0" fontId="5" fillId="0" borderId="2" applyAlignment="1" pivotButton="0" quotePrefix="0" xfId="0">
      <alignment horizontal="left" indent="1"/>
    </xf>
    <xf numFmtId="167" fontId="5" fillId="7" borderId="2" applyAlignment="1" pivotButton="0" quotePrefix="0" xfId="0">
      <alignment horizontal="right"/>
    </xf>
    <xf numFmtId="0" fontId="7" fillId="0" borderId="2" applyAlignment="1" pivotButton="0" quotePrefix="0" xfId="0">
      <alignment horizontal="left" indent="1"/>
    </xf>
    <xf numFmtId="0" fontId="12" fillId="0" borderId="2" applyAlignment="1" pivotButton="0" quotePrefix="0" xfId="0">
      <alignment horizontal="right"/>
    </xf>
    <xf numFmtId="169" fontId="7" fillId="5" borderId="2" applyAlignment="1" pivotButton="0" quotePrefix="0" xfId="0">
      <alignment horizontal="right"/>
    </xf>
    <xf numFmtId="0" fontId="13" fillId="6" borderId="2" applyAlignment="1" pivotButton="0" quotePrefix="0" xfId="0">
      <alignment horizontal="left" inden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</cols>
  <sheetData>
    <row r="1" ht="28" customHeight="1">
      <c r="A1" s="1" t="inlineStr">
        <is>
          <t>B2B SaaS PROJECT MANAGEMENT TOOL — PRICING MODEL ASSUMPTIONS</t>
        </is>
      </c>
    </row>
    <row r="2">
      <c r="A2" s="2" t="inlineStr">
        <is>
          <t>Blue cells = hardcoded inputs you can change   |   Yellow background = key assumptions</t>
        </is>
      </c>
    </row>
    <row r="4">
      <c r="A4" s="3" t="inlineStr">
        <is>
          <t xml:space="preserve">  SECTION 1 — UNIT ECONOMICS  (COGS &amp; Target Margin)</t>
        </is>
      </c>
      <c r="B4" s="38" t="n"/>
      <c r="C4" s="38" t="n"/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Notes / Formula</t>
        </is>
      </c>
    </row>
    <row r="6" ht="18" customHeight="1">
      <c r="A6" s="5" t="inlineStr">
        <is>
          <t>COGS per Seat / Month</t>
        </is>
      </c>
      <c r="B6" s="6" t="n">
        <v>4</v>
      </c>
      <c r="C6" s="7" t="inlineStr">
        <is>
          <t>Direct infra + support cost per seat per month  |  Source: internal cost model, June 2026</t>
        </is>
      </c>
    </row>
    <row r="7" ht="18" customHeight="1">
      <c r="A7" s="5" t="inlineStr">
        <is>
          <t>Target Gross Margin %</t>
        </is>
      </c>
      <c r="B7" s="8" t="n">
        <v>0.75</v>
      </c>
      <c r="C7" s="7" t="inlineStr">
        <is>
          <t>Company target gross margin — drives price floor calculation</t>
        </is>
      </c>
    </row>
    <row r="8" ht="18" customHeight="1">
      <c r="A8" s="5" t="inlineStr">
        <is>
          <t>Billing Cadence</t>
        </is>
      </c>
      <c r="B8" s="9" t="inlineStr">
        <is>
          <t>Monthly</t>
        </is>
      </c>
      <c r="C8" s="7" t="inlineStr">
        <is>
          <t>Monthly billing assumed throughout; multiply MRR×12 for ARR</t>
        </is>
      </c>
    </row>
    <row r="9">
      <c r="A9" s="10" t="n"/>
      <c r="B9" s="10" t="n"/>
      <c r="C9" s="10" t="n"/>
    </row>
    <row r="10" ht="18" customHeight="1">
      <c r="A10" s="11" t="inlineStr">
        <is>
          <t>Price Floor = COGS ÷ (1 − Target GM%)</t>
        </is>
      </c>
      <c r="B10" s="12">
        <f>B6/(1-B7)</f>
        <v/>
      </c>
      <c r="C10" s="7">
        <f> $4.00 ÷ (1 − 75%) = $16.00/seat/mo  |  NO price may go below this floor</f>
        <v/>
      </c>
    </row>
    <row r="12">
      <c r="A12" s="3" t="inlineStr">
        <is>
          <t xml:space="preserve">  SECTION 2 — DEAL SIZE BREAKPOINTS</t>
        </is>
      </c>
      <c r="B12" s="38" t="n"/>
      <c r="C12" s="38" t="n"/>
    </row>
    <row r="13">
      <c r="A13" s="4" t="inlineStr">
        <is>
          <t>Deal Size</t>
        </is>
      </c>
      <c r="B13" s="4" t="inlineStr">
        <is>
          <t>Seats</t>
        </is>
      </c>
      <c r="C13" s="4" t="inlineStr">
        <is>
          <t>Notes</t>
        </is>
      </c>
    </row>
    <row r="14" ht="18" customHeight="1">
      <c r="A14" s="5" t="inlineStr">
        <is>
          <t>Small Deal</t>
        </is>
      </c>
      <c r="B14" s="13" t="n">
        <v>50</v>
      </c>
      <c r="C14" s="7" t="inlineStr">
        <is>
          <t>Typical SMB / startup</t>
        </is>
      </c>
    </row>
    <row r="15" ht="18" customHeight="1">
      <c r="A15" s="5" t="inlineStr">
        <is>
          <t>Mid Deal</t>
        </is>
      </c>
      <c r="B15" s="13" t="n">
        <v>200</v>
      </c>
      <c r="C15" s="7" t="inlineStr">
        <is>
          <t>Growth-stage company</t>
        </is>
      </c>
    </row>
    <row r="16" ht="18" customHeight="1">
      <c r="A16" s="5" t="inlineStr">
        <is>
          <t>Large Deal</t>
        </is>
      </c>
      <c r="B16" s="13" t="n">
        <v>500</v>
      </c>
      <c r="C16" s="7" t="inlineStr">
        <is>
          <t>Enterprise / department-wide rollout</t>
        </is>
      </c>
    </row>
    <row r="19">
      <c r="A19" s="3" t="inlineStr">
        <is>
          <t xml:space="preserve">  SECTION 3 — USAGE-BASED OVERAGE PARAMETERS</t>
        </is>
      </c>
      <c r="B19" s="38" t="n"/>
      <c r="C19" s="38" t="n"/>
    </row>
    <row r="20">
      <c r="A20" s="4" t="inlineStr">
        <is>
          <t>Parameter</t>
        </is>
      </c>
      <c r="B20" s="4" t="inlineStr">
        <is>
          <t>Value</t>
        </is>
      </c>
      <c r="C20" s="4" t="inlineStr">
        <is>
          <t>Notes</t>
        </is>
      </c>
    </row>
    <row r="21" ht="18" customHeight="1">
      <c r="A21" s="5" t="inlineStr">
        <is>
          <t>Included API Calls / Seat / Month</t>
        </is>
      </c>
      <c r="B21" s="13" t="n">
        <v>10000</v>
      </c>
      <c r="C21" s="7" t="inlineStr">
        <is>
          <t>Free threshold — no charge up to this level</t>
        </is>
      </c>
    </row>
    <row r="22" ht="18" customHeight="1">
      <c r="A22" s="5" t="inlineStr">
        <is>
          <t>Overage Rate ($ per API call)</t>
        </is>
      </c>
      <c r="B22" s="14" t="n">
        <v>0.02</v>
      </c>
      <c r="C22" s="7" t="inlineStr">
        <is>
          <t>Charge per call above the included threshold</t>
        </is>
      </c>
    </row>
    <row r="23" ht="18" customHeight="1">
      <c r="A23" s="5" t="inlineStr">
        <is>
          <t>P25 Usage (calls/seat/month)</t>
        </is>
      </c>
      <c r="B23" s="13" t="n">
        <v>15000</v>
      </c>
      <c r="C23" s="7" t="inlineStr">
        <is>
          <t>Low-usage cohort — 25th percentile scenario</t>
        </is>
      </c>
    </row>
    <row r="24" ht="18" customHeight="1">
      <c r="A24" s="5" t="inlineStr">
        <is>
          <t>P50 Usage (calls/seat/month)</t>
        </is>
      </c>
      <c r="B24" s="13" t="n">
        <v>25000</v>
      </c>
      <c r="C24" s="7" t="inlineStr">
        <is>
          <t>Median-usage cohort — 50th percentile scenario</t>
        </is>
      </c>
    </row>
    <row r="25" ht="18" customHeight="1">
      <c r="A25" s="5" t="inlineStr">
        <is>
          <t>P75 Usage (calls/seat/month)</t>
        </is>
      </c>
      <c r="B25" s="13" t="n">
        <v>40000</v>
      </c>
      <c r="C25" s="7" t="inlineStr">
        <is>
          <t>High-usage cohort — 75th percentile scenario</t>
        </is>
      </c>
    </row>
    <row r="29" ht="14" customHeight="1">
      <c r="A29" s="15" t="inlineStr">
        <is>
          <t>Source: Internal model inputs provided by user, June 2026  |  Model built: 2026-06-10</t>
        </is>
      </c>
    </row>
  </sheetData>
  <mergeCells count="6">
    <mergeCell ref="A19:C19"/>
    <mergeCell ref="A1:C1"/>
    <mergeCell ref="A12:C12"/>
    <mergeCell ref="A4:C4"/>
    <mergeCell ref="A2:C2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TIER PRICING MATRIX — SEAT-BASED  |  3 TIERS: STARTER / GROWTH / ENTERPRISE</t>
        </is>
      </c>
    </row>
    <row r="2">
      <c r="A2" s="2" t="inlineStr">
        <is>
          <t>Black = formula  |  Blue = hardcoded input  |  Green = cross-sheet link  |  All prices per seat / month</t>
        </is>
      </c>
    </row>
    <row r="4">
      <c r="A4" s="3" t="inlineStr">
        <is>
          <t xml:space="preserve">  SECTION A — PRICE FLOOR DERIVATION  |  Formula: COGS ÷ (1 − Target GM%)</t>
        </is>
      </c>
      <c r="B4" s="38" t="n"/>
      <c r="C4" s="38" t="n"/>
      <c r="D4" s="38" t="n"/>
    </row>
    <row r="5">
      <c r="A5" s="4" t="inlineStr">
        <is>
          <t>Metric</t>
        </is>
      </c>
      <c r="B5" s="4" t="inlineStr">
        <is>
          <t>Starter</t>
        </is>
      </c>
      <c r="C5" s="4" t="inlineStr">
        <is>
          <t>Growth</t>
        </is>
      </c>
      <c r="D5" s="4" t="inlineStr">
        <is>
          <t>Enterprise</t>
        </is>
      </c>
    </row>
    <row r="6" ht="18" customHeight="1">
      <c r="A6" s="5" t="inlineStr">
        <is>
          <t>COGS / Seat / Month</t>
        </is>
      </c>
      <c r="B6" s="16">
        <f>Assumptions!$B$6</f>
        <v/>
      </c>
      <c r="C6" s="16">
        <f>Assumptions!$B$6</f>
        <v/>
      </c>
      <c r="D6" s="16">
        <f>Assumptions!$B$6</f>
        <v/>
      </c>
    </row>
    <row r="7" ht="18" customHeight="1">
      <c r="A7" s="5" t="inlineStr">
        <is>
          <t>Target Gross Margin %</t>
        </is>
      </c>
      <c r="B7" s="17">
        <f>Assumptions!$B$7</f>
        <v/>
      </c>
      <c r="C7" s="17">
        <f>Assumptions!$B$7</f>
        <v/>
      </c>
      <c r="D7" s="17">
        <f>Assumptions!$B$7</f>
        <v/>
      </c>
    </row>
    <row r="8" ht="18" customHeight="1">
      <c r="A8" s="5" t="inlineStr">
        <is>
          <t>Raw Price Floor = COGS ÷ (1−GM%)</t>
        </is>
      </c>
      <c r="B8" s="18">
        <f>B6/(1-B7)</f>
        <v/>
      </c>
      <c r="C8" s="18">
        <f>C6/(1-C7)</f>
        <v/>
      </c>
      <c r="D8" s="18">
        <f>D6/(1-D7)</f>
        <v/>
      </c>
    </row>
    <row r="9" ht="18" customHeight="1">
      <c r="A9" s="11" t="inlineStr">
        <is>
          <t>Price Floor (rounded to $0.50)</t>
        </is>
      </c>
      <c r="B9" s="19">
        <f>CEILING(B8,0.5)</f>
        <v/>
      </c>
      <c r="C9" s="19">
        <f>CEILING(C8,0.5)</f>
        <v/>
      </c>
      <c r="D9" s="19">
        <f>CEILING(D8,0.5)</f>
        <v/>
      </c>
    </row>
    <row r="10">
      <c r="A10" s="10" t="n"/>
      <c r="B10" s="10" t="n"/>
      <c r="C10" s="10" t="n"/>
      <c r="D10" s="10" t="n"/>
    </row>
    <row r="11">
      <c r="A11" s="3" t="inlineStr">
        <is>
          <t xml:space="preserve">  SECTION B — LIST PRICES  (must exceed price floor; change blue cells to scenario-test)</t>
        </is>
      </c>
      <c r="B11" s="38" t="n"/>
      <c r="C11" s="38" t="n"/>
      <c r="D11" s="38" t="n"/>
    </row>
    <row r="12">
      <c r="A12" s="4" t="inlineStr">
        <is>
          <t>Metric</t>
        </is>
      </c>
      <c r="B12" s="4" t="inlineStr">
        <is>
          <t>Starter</t>
        </is>
      </c>
      <c r="C12" s="4" t="inlineStr">
        <is>
          <t>Growth</t>
        </is>
      </c>
      <c r="D12" s="4" t="inlineStr">
        <is>
          <t>Enterprise</t>
        </is>
      </c>
    </row>
    <row r="13" ht="20" customHeight="1">
      <c r="A13" s="11" t="inlineStr">
        <is>
          <t>List Price / Seat / Month</t>
        </is>
      </c>
      <c r="B13" s="20" t="n">
        <v>18</v>
      </c>
      <c r="C13" s="20" t="n">
        <v>22</v>
      </c>
      <c r="D13" s="20" t="n">
        <v>28</v>
      </c>
    </row>
    <row r="14" ht="18" customHeight="1">
      <c r="A14" s="5" t="inlineStr">
        <is>
          <t>Above floor? (must be TRUE)</t>
        </is>
      </c>
      <c r="B14" s="21">
        <f>IF(B13&gt;=B9,"YES — OK","!! BELOW FLOOR !!")</f>
        <v/>
      </c>
      <c r="C14" s="21">
        <f>IF(C13&gt;=C9,"YES — OK","!! BELOW FLOOR !!")</f>
        <v/>
      </c>
      <c r="D14" s="21">
        <f>IF(D13&gt;=D9,"YES — OK","!! BELOW FLOOR !!")</f>
        <v/>
      </c>
    </row>
    <row r="15">
      <c r="A15" s="10" t="n"/>
      <c r="B15" s="10" t="n"/>
      <c r="C15" s="10" t="n"/>
      <c r="D15" s="10" t="n"/>
    </row>
    <row r="16">
      <c r="A16" s="3" t="inlineStr">
        <is>
          <t xml:space="preserve">  SECTION C — TIER UNIT ECONOMICS</t>
        </is>
      </c>
      <c r="B16" s="38" t="n"/>
      <c r="C16" s="38" t="n"/>
      <c r="D16" s="38" t="n"/>
    </row>
    <row r="17">
      <c r="A17" s="4" t="inlineStr">
        <is>
          <t>Metric</t>
        </is>
      </c>
      <c r="B17" s="4" t="inlineStr">
        <is>
          <t>Starter</t>
        </is>
      </c>
      <c r="C17" s="4" t="inlineStr">
        <is>
          <t>Growth</t>
        </is>
      </c>
      <c r="D17" s="4" t="inlineStr">
        <is>
          <t>Enterprise</t>
        </is>
      </c>
    </row>
    <row r="18" ht="18" customHeight="1">
      <c r="A18" s="5" t="inlineStr">
        <is>
          <t>List Price / Seat / Month</t>
        </is>
      </c>
      <c r="B18" s="18">
        <f>B13</f>
        <v/>
      </c>
      <c r="C18" s="18">
        <f>C13</f>
        <v/>
      </c>
      <c r="D18" s="18">
        <f>D13</f>
        <v/>
      </c>
    </row>
    <row r="19" ht="18" customHeight="1">
      <c r="A19" s="5" t="inlineStr">
        <is>
          <t>COGS / Seat / Month</t>
        </is>
      </c>
      <c r="B19" s="18">
        <f>B6</f>
        <v/>
      </c>
      <c r="C19" s="18">
        <f>C6</f>
        <v/>
      </c>
      <c r="D19" s="18">
        <f>D6</f>
        <v/>
      </c>
    </row>
    <row r="20" ht="18" customHeight="1">
      <c r="A20" s="11" t="inlineStr">
        <is>
          <t>Gross Profit / Seat / Month</t>
        </is>
      </c>
      <c r="B20" s="12">
        <f>B18-B19</f>
        <v/>
      </c>
      <c r="C20" s="12">
        <f>C18-C19</f>
        <v/>
      </c>
      <c r="D20" s="12">
        <f>D18-D19</f>
        <v/>
      </c>
    </row>
    <row r="21" ht="18" customHeight="1">
      <c r="A21" s="11" t="inlineStr">
        <is>
          <t>Gross Margin %</t>
        </is>
      </c>
      <c r="B21" s="22">
        <f>B20/B18</f>
        <v/>
      </c>
      <c r="C21" s="22">
        <f>C20/C18</f>
        <v/>
      </c>
      <c r="D21" s="22">
        <f>D20/D18</f>
        <v/>
      </c>
    </row>
    <row r="22" ht="18" customHeight="1">
      <c r="A22" s="5" t="inlineStr">
        <is>
          <t>Premium above Floor ($)</t>
        </is>
      </c>
      <c r="B22" s="18">
        <f>B18-B9</f>
        <v/>
      </c>
      <c r="C22" s="18">
        <f>C18-C9</f>
        <v/>
      </c>
      <c r="D22" s="18">
        <f>D18-D9</f>
        <v/>
      </c>
    </row>
    <row r="23" ht="18" customHeight="1">
      <c r="A23" s="5" t="inlineStr">
        <is>
          <t>Premium above Floor (%)</t>
        </is>
      </c>
      <c r="B23" s="23">
        <f>B21/B9</f>
        <v/>
      </c>
      <c r="C23" s="23">
        <f>C21/C9</f>
        <v/>
      </c>
      <c r="D23" s="23">
        <f>D21/D9</f>
        <v/>
      </c>
    </row>
    <row r="25">
      <c r="A25" s="10" t="n"/>
      <c r="B25" s="10" t="n"/>
      <c r="C25" s="10" t="n"/>
      <c r="D25" s="10" t="n"/>
    </row>
    <row r="26">
      <c r="A26" s="3" t="inlineStr">
        <is>
          <t xml:space="preserve">  SECTION D — DISCOUNT THRESHOLDS  |  Hard stop = Price Floor</t>
        </is>
      </c>
      <c r="B26" s="38" t="n"/>
      <c r="C26" s="38" t="n"/>
      <c r="D26" s="38" t="n"/>
    </row>
    <row r="27">
      <c r="A27" s="4" t="inlineStr">
        <is>
          <t>Metric</t>
        </is>
      </c>
      <c r="B27" s="4" t="inlineStr">
        <is>
          <t>Starter</t>
        </is>
      </c>
      <c r="C27" s="4" t="inlineStr">
        <is>
          <t>Growth</t>
        </is>
      </c>
      <c r="D27" s="4" t="inlineStr">
        <is>
          <t>Enterprise</t>
        </is>
      </c>
    </row>
    <row r="28" ht="18" customHeight="1">
      <c r="A28" s="5" t="inlineStr">
        <is>
          <t>Max Allowable Discount %</t>
        </is>
      </c>
      <c r="B28" s="23">
        <f>1-(B9/B13)</f>
        <v/>
      </c>
      <c r="C28" s="23">
        <f>1-(C9/C13)</f>
        <v/>
      </c>
      <c r="D28" s="23">
        <f>1-(D9/D13)</f>
        <v/>
      </c>
    </row>
    <row r="29" ht="18" customHeight="1">
      <c r="A29" s="5" t="inlineStr">
        <is>
          <t>Max Discount Amount / Seat</t>
        </is>
      </c>
      <c r="B29" s="18">
        <f>B13-B9</f>
        <v/>
      </c>
      <c r="C29" s="18">
        <f>C13-C9</f>
        <v/>
      </c>
      <c r="D29" s="18">
        <f>D13-D9</f>
        <v/>
      </c>
    </row>
    <row r="30" ht="18" customHeight="1">
      <c r="A30" s="11" t="inlineStr">
        <is>
          <t>Floor / Hard-Stop Price</t>
        </is>
      </c>
      <c r="B30" s="19">
        <f>B9</f>
        <v/>
      </c>
      <c r="C30" s="19">
        <f>C9</f>
        <v/>
      </c>
      <c r="D30" s="19">
        <f>D9</f>
        <v/>
      </c>
    </row>
  </sheetData>
  <mergeCells count="6">
    <mergeCell ref="A1:D1"/>
    <mergeCell ref="A4:D4"/>
    <mergeCell ref="A26:D26"/>
    <mergeCell ref="A16:D16"/>
    <mergeCell ref="A11:D1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DEAL ECONOMICS — MRR / ARR / GROSS PROFIT  |  3 TIERS × 3 DEAL SIZES</t>
        </is>
      </c>
    </row>
    <row r="2">
      <c r="A2" s="2" t="inlineStr">
        <is>
          <t>All list prices and COGS pulled from Tier Pricing Matrix (green links) — update inputs on Assumptions sheet</t>
        </is>
      </c>
    </row>
    <row r="4">
      <c r="A4" s="3" t="inlineStr">
        <is>
          <t xml:space="preserve">  SECTION A — MRR &amp; ARR BY TIER AND DEAL SIZE</t>
        </is>
      </c>
      <c r="B4" s="38" t="n"/>
      <c r="C4" s="38" t="n"/>
      <c r="D4" s="38" t="n"/>
      <c r="E4" s="38" t="n"/>
      <c r="F4" s="38" t="n"/>
      <c r="G4" s="38" t="n"/>
    </row>
    <row r="5">
      <c r="A5" s="4" t="inlineStr">
        <is>
          <t>Deal Size</t>
        </is>
      </c>
      <c r="B5" s="4" t="inlineStr">
        <is>
          <t>Seats</t>
        </is>
      </c>
      <c r="C5" s="4" t="inlineStr">
        <is>
          <t>Starter MRR ($)</t>
        </is>
      </c>
      <c r="D5" s="4" t="inlineStr">
        <is>
          <t>Growth MRR ($)</t>
        </is>
      </c>
      <c r="E5" s="4" t="inlineStr">
        <is>
          <t>Enterprise MRR ($)</t>
        </is>
      </c>
      <c r="F5" s="4" t="inlineStr">
        <is>
          <t>Starter ARR ($)</t>
        </is>
      </c>
      <c r="G5" s="4" t="inlineStr">
        <is>
          <t>Growth ARR ($)</t>
        </is>
      </c>
      <c r="H5" s="4" t="inlineStr">
        <is>
          <t>Enterprise ARR ($)</t>
        </is>
      </c>
    </row>
    <row r="6" ht="18" customHeight="1">
      <c r="A6" s="5" t="inlineStr">
        <is>
          <t>Small Deal (50 seats)</t>
        </is>
      </c>
      <c r="B6" s="24">
        <f>Assumptions!$B$14</f>
        <v/>
      </c>
      <c r="C6" s="25">
        <f>B6*'Tier Pricing Matrix'!$B$13</f>
        <v/>
      </c>
      <c r="D6" s="25">
        <f>B6*'Tier Pricing Matrix'!$C$13</f>
        <v/>
      </c>
      <c r="E6" s="25">
        <f>B6*'Tier Pricing Matrix'!$D$13</f>
        <v/>
      </c>
      <c r="F6" s="26">
        <f>C6*12</f>
        <v/>
      </c>
      <c r="G6" s="26">
        <f>D6*12</f>
        <v/>
      </c>
      <c r="H6" s="26">
        <f>E6*12</f>
        <v/>
      </c>
    </row>
    <row r="7" ht="18" customHeight="1">
      <c r="A7" s="5" t="inlineStr">
        <is>
          <t>Mid Deal (200 seats)</t>
        </is>
      </c>
      <c r="B7" s="24">
        <f>Assumptions!$B$15</f>
        <v/>
      </c>
      <c r="C7" s="25">
        <f>B7*'Tier Pricing Matrix'!$B$13</f>
        <v/>
      </c>
      <c r="D7" s="25">
        <f>B7*'Tier Pricing Matrix'!$C$13</f>
        <v/>
      </c>
      <c r="E7" s="25">
        <f>B7*'Tier Pricing Matrix'!$D$13</f>
        <v/>
      </c>
      <c r="F7" s="26">
        <f>C7*12</f>
        <v/>
      </c>
      <c r="G7" s="26">
        <f>D7*12</f>
        <v/>
      </c>
      <c r="H7" s="26">
        <f>E7*12</f>
        <v/>
      </c>
    </row>
    <row r="8" ht="18" customHeight="1">
      <c r="A8" s="5" t="inlineStr">
        <is>
          <t>Large Deal (500 seats)</t>
        </is>
      </c>
      <c r="B8" s="24">
        <f>Assumptions!$B$16</f>
        <v/>
      </c>
      <c r="C8" s="25">
        <f>B8*'Tier Pricing Matrix'!$B$13</f>
        <v/>
      </c>
      <c r="D8" s="25">
        <f>B8*'Tier Pricing Matrix'!$C$13</f>
        <v/>
      </c>
      <c r="E8" s="25">
        <f>B8*'Tier Pricing Matrix'!$D$13</f>
        <v/>
      </c>
      <c r="F8" s="26">
        <f>C8*12</f>
        <v/>
      </c>
      <c r="G8" s="26">
        <f>D8*12</f>
        <v/>
      </c>
      <c r="H8" s="26">
        <f>E8*12</f>
        <v/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3" t="inlineStr">
        <is>
          <t xml:space="preserve">  SECTION B — MONTHLY &amp; ANNUAL GROSS PROFIT BY TIER AND DEAL SIZE</t>
        </is>
      </c>
      <c r="B11" s="38" t="n"/>
      <c r="C11" s="38" t="n"/>
      <c r="D11" s="38" t="n"/>
      <c r="E11" s="38" t="n"/>
      <c r="F11" s="38" t="n"/>
      <c r="G11" s="38" t="n"/>
      <c r="H11" s="38" t="n"/>
    </row>
    <row r="12">
      <c r="A12" s="4" t="inlineStr">
        <is>
          <t>Deal Size</t>
        </is>
      </c>
      <c r="B12" s="4" t="inlineStr">
        <is>
          <t>Seats</t>
        </is>
      </c>
      <c r="C12" s="4" t="inlineStr">
        <is>
          <t>Starter Monthly GP ($)</t>
        </is>
      </c>
      <c r="D12" s="4" t="inlineStr">
        <is>
          <t>Growth Monthly GP ($)</t>
        </is>
      </c>
      <c r="E12" s="4" t="inlineStr">
        <is>
          <t>Enterprise Monthly GP ($)</t>
        </is>
      </c>
      <c r="F12" s="4" t="inlineStr">
        <is>
          <t>Starter Annual GP ($)</t>
        </is>
      </c>
      <c r="G12" s="4" t="inlineStr">
        <is>
          <t>Growth Annual GP ($)</t>
        </is>
      </c>
      <c r="H12" s="4" t="inlineStr">
        <is>
          <t>Enterprise Annual GP ($)</t>
        </is>
      </c>
    </row>
    <row r="13" ht="18" customHeight="1">
      <c r="A13" s="5" t="inlineStr">
        <is>
          <t>Small Deal (50 seats)</t>
        </is>
      </c>
      <c r="B13" s="24">
        <f>Assumptions!$B$14</f>
        <v/>
      </c>
      <c r="C13" s="25">
        <f>B13*'Tier Pricing Matrix'!$B$20</f>
        <v/>
      </c>
      <c r="D13" s="25">
        <f>B13*'Tier Pricing Matrix'!$C$20</f>
        <v/>
      </c>
      <c r="E13" s="25">
        <f>B13*'Tier Pricing Matrix'!$D$20</f>
        <v/>
      </c>
      <c r="F13" s="26">
        <f>C13*12</f>
        <v/>
      </c>
      <c r="G13" s="26">
        <f>D13*12</f>
        <v/>
      </c>
      <c r="H13" s="26">
        <f>E13*12</f>
        <v/>
      </c>
    </row>
    <row r="14" ht="18" customHeight="1">
      <c r="A14" s="5" t="inlineStr">
        <is>
          <t>Mid Deal (200 seats)</t>
        </is>
      </c>
      <c r="B14" s="24">
        <f>Assumptions!$B$15</f>
        <v/>
      </c>
      <c r="C14" s="25">
        <f>B14*'Tier Pricing Matrix'!$B$20</f>
        <v/>
      </c>
      <c r="D14" s="25">
        <f>B14*'Tier Pricing Matrix'!$C$20</f>
        <v/>
      </c>
      <c r="E14" s="25">
        <f>B14*'Tier Pricing Matrix'!$D$20</f>
        <v/>
      </c>
      <c r="F14" s="26">
        <f>C14*12</f>
        <v/>
      </c>
      <c r="G14" s="26">
        <f>D14*12</f>
        <v/>
      </c>
      <c r="H14" s="26">
        <f>E14*12</f>
        <v/>
      </c>
    </row>
    <row r="15" ht="18" customHeight="1">
      <c r="A15" s="5" t="inlineStr">
        <is>
          <t>Large Deal (500 seats)</t>
        </is>
      </c>
      <c r="B15" s="24">
        <f>Assumptions!$B$16</f>
        <v/>
      </c>
      <c r="C15" s="25">
        <f>B15*'Tier Pricing Matrix'!$B$20</f>
        <v/>
      </c>
      <c r="D15" s="25">
        <f>B15*'Tier Pricing Matrix'!$C$20</f>
        <v/>
      </c>
      <c r="E15" s="25">
        <f>B15*'Tier Pricing Matrix'!$D$20</f>
        <v/>
      </c>
      <c r="F15" s="26">
        <f>C15*12</f>
        <v/>
      </c>
      <c r="G15" s="26">
        <f>D15*12</f>
        <v/>
      </c>
      <c r="H15" s="26">
        <f>E15*12</f>
        <v/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3" t="inlineStr">
        <is>
          <t xml:space="preserve">  SECTION C — GROSS MARGIN % CHECK AT EACH TIER (independent of deal size)</t>
        </is>
      </c>
      <c r="B18" s="38" t="n"/>
      <c r="C18" s="38" t="n"/>
      <c r="D18" s="38" t="n"/>
      <c r="E18" s="38" t="n"/>
      <c r="F18" s="38" t="n"/>
      <c r="G18" s="38" t="n"/>
      <c r="H18" s="38" t="n"/>
    </row>
    <row r="19">
      <c r="A19" s="4" t="inlineStr">
        <is>
          <t>Metric</t>
        </is>
      </c>
      <c r="B19" s="4" t="inlineStr">
        <is>
          <t>Starter</t>
        </is>
      </c>
      <c r="C19" s="4" t="inlineStr">
        <is>
          <t>Growth</t>
        </is>
      </c>
      <c r="D19" s="4" t="inlineStr">
        <is>
          <t>Enterprise</t>
        </is>
      </c>
      <c r="E19" s="4" t="inlineStr"/>
      <c r="F19" s="4" t="inlineStr"/>
      <c r="G19" s="4" t="inlineStr"/>
      <c r="H19" s="4" t="inlineStr"/>
    </row>
    <row r="20" ht="18" customHeight="1">
      <c r="A20" s="5" t="inlineStr">
        <is>
          <t>List Price / Seat / Mo</t>
        </is>
      </c>
      <c r="B20" s="16" t="inlineStr">
        <is>
          <t>'Tier Pricing Matrix'!$B$13</t>
        </is>
      </c>
      <c r="C20" s="16" t="inlineStr">
        <is>
          <t>'Tier Pricing Matrix'!$C$13</t>
        </is>
      </c>
      <c r="D20" s="16" t="inlineStr">
        <is>
          <t>'Tier Pricing Matrix'!$D$13</t>
        </is>
      </c>
      <c r="E20" s="10" t="n"/>
      <c r="F20" s="10" t="n"/>
      <c r="G20" s="10" t="n"/>
      <c r="H20" s="10" t="n"/>
    </row>
    <row r="21" ht="18" customHeight="1">
      <c r="A21" s="5" t="inlineStr">
        <is>
          <t>COGS / Seat / Mo</t>
        </is>
      </c>
      <c r="B21" s="16" t="inlineStr">
        <is>
          <t>'Tier Pricing Matrix'!$B$6</t>
        </is>
      </c>
      <c r="C21" s="16" t="inlineStr">
        <is>
          <t>'Tier Pricing Matrix'!$C$6</t>
        </is>
      </c>
      <c r="D21" s="16" t="inlineStr">
        <is>
          <t>'Tier Pricing Matrix'!$D$6</t>
        </is>
      </c>
      <c r="E21" s="10" t="n"/>
      <c r="F21" s="10" t="n"/>
      <c r="G21" s="10" t="n"/>
      <c r="H21" s="10" t="n"/>
    </row>
    <row r="22" ht="18" customHeight="1">
      <c r="A22" s="5" t="inlineStr">
        <is>
          <t>GP / Seat / Mo</t>
        </is>
      </c>
      <c r="B22" s="16" t="inlineStr">
        <is>
          <t>'Tier Pricing Matrix'!$B$20</t>
        </is>
      </c>
      <c r="C22" s="16" t="inlineStr">
        <is>
          <t>'Tier Pricing Matrix'!$C$20</t>
        </is>
      </c>
      <c r="D22" s="16" t="inlineStr">
        <is>
          <t>'Tier Pricing Matrix'!$D$20</t>
        </is>
      </c>
      <c r="E22" s="10" t="n"/>
      <c r="F22" s="10" t="n"/>
      <c r="G22" s="10" t="n"/>
      <c r="H22" s="10" t="n"/>
    </row>
    <row r="23" ht="18" customHeight="1">
      <c r="A23" s="11" t="inlineStr">
        <is>
          <t>Gross Margin %</t>
        </is>
      </c>
      <c r="B23" s="22">
        <f>B22/B20</f>
        <v/>
      </c>
      <c r="C23" s="22">
        <f>C22/C20</f>
        <v/>
      </c>
      <c r="D23" s="22">
        <f>D22/D20</f>
        <v/>
      </c>
      <c r="E23" s="10" t="n"/>
      <c r="F23" s="10" t="n"/>
      <c r="G23" s="10" t="n"/>
      <c r="H23" s="10" t="n"/>
    </row>
  </sheetData>
  <mergeCells count="9">
    <mergeCell ref="A18:H18"/>
    <mergeCell ref="A22"/>
    <mergeCell ref="A1:G1"/>
    <mergeCell ref="A21"/>
    <mergeCell ref="A4:G4"/>
    <mergeCell ref="A20"/>
    <mergeCell ref="A2:G2"/>
    <mergeCell ref="A11:H11"/>
    <mergeCell ref="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EXPANSION REVENUE — USAGE-BASED OVERAGE MODEL  |  P25 / P50 / P75 SCENARIOS</t>
        </is>
      </c>
    </row>
    <row r="2">
      <c r="A2" s="2" t="inlineStr">
        <is>
          <t>Formula: Overage Rev/Seat/Mo = MAX(0, Usage − Included Threshold) × Overage Rate  |  Never uses a single average</t>
        </is>
      </c>
    </row>
    <row r="3"/>
    <row r="4">
      <c r="A4" s="3" t="inlineStr">
        <is>
          <t xml:space="preserve">  SECTION A — OVERAGE MECHANICS</t>
        </is>
      </c>
      <c r="B4" s="38" t="n"/>
      <c r="C4" s="38" t="n"/>
      <c r="D4" s="38" t="n"/>
      <c r="E4" s="38" t="n"/>
    </row>
    <row r="5">
      <c r="A5" s="4" t="inlineStr">
        <is>
          <t>Parameter</t>
        </is>
      </c>
      <c r="B5" s="4" t="inlineStr">
        <is>
          <t>Value</t>
        </is>
      </c>
      <c r="C5" s="4" t="inlineStr">
        <is>
          <t>Formula / Derivation</t>
        </is>
      </c>
      <c r="D5" s="4" t="inlineStr"/>
      <c r="E5" s="4" t="inlineStr"/>
    </row>
    <row r="6" ht="18" customHeight="1">
      <c r="A6" s="5" t="inlineStr">
        <is>
          <t>Included Calls / Seat / Month</t>
        </is>
      </c>
      <c r="B6" s="24">
        <f>Assumptions!$B$21</f>
        <v/>
      </c>
      <c r="C6" s="7" t="inlineStr">
        <is>
          <t>Threshold from Assumptions sheet</t>
        </is>
      </c>
      <c r="D6" s="39" t="n"/>
      <c r="E6" s="40" t="n"/>
    </row>
    <row r="7" ht="18" customHeight="1">
      <c r="A7" s="5" t="inlineStr">
        <is>
          <t>Overage Rate ($ / call)</t>
        </is>
      </c>
      <c r="B7" s="27">
        <f>Assumptions!$B$22</f>
        <v/>
      </c>
      <c r="C7" s="7" t="inlineStr">
        <is>
          <t>Rate from Assumptions sheet</t>
        </is>
      </c>
      <c r="D7" s="39" t="n"/>
      <c r="E7" s="40" t="n"/>
    </row>
    <row r="8" ht="18" customHeight="1">
      <c r="A8" s="5" t="inlineStr">
        <is>
          <t>P25 Usage (calls/seat/month)</t>
        </is>
      </c>
      <c r="B8" s="24">
        <f>Assumptions!$B$23</f>
        <v/>
      </c>
      <c r="C8" s="7" t="inlineStr">
        <is>
          <t>Low-usage cohort (25th percentile)</t>
        </is>
      </c>
      <c r="D8" s="39" t="n"/>
      <c r="E8" s="40" t="n"/>
    </row>
    <row r="9" ht="18" customHeight="1">
      <c r="A9" s="5" t="inlineStr">
        <is>
          <t>P50 Usage (calls/seat/month)</t>
        </is>
      </c>
      <c r="B9" s="24">
        <f>Assumptions!$B$24</f>
        <v/>
      </c>
      <c r="C9" s="7" t="inlineStr">
        <is>
          <t>Median-usage cohort (50th percentile)</t>
        </is>
      </c>
      <c r="D9" s="39" t="n"/>
      <c r="E9" s="40" t="n"/>
    </row>
    <row r="10" ht="18" customHeight="1">
      <c r="A10" s="5" t="inlineStr">
        <is>
          <t>P75 Usage (calls/seat/month)</t>
        </is>
      </c>
      <c r="B10" s="24">
        <f>Assumptions!$B$25</f>
        <v/>
      </c>
      <c r="C10" s="7" t="inlineStr">
        <is>
          <t>High-usage cohort (75th percentile)</t>
        </is>
      </c>
      <c r="D10" s="39" t="n"/>
      <c r="E10" s="40" t="n"/>
    </row>
    <row r="11"/>
    <row r="12">
      <c r="A12" s="10" t="n"/>
      <c r="B12" s="10" t="n"/>
      <c r="C12" s="10" t="n"/>
      <c r="D12" s="10" t="n"/>
      <c r="E12" s="10" t="n"/>
    </row>
    <row r="13">
      <c r="A13" s="3" t="inlineStr">
        <is>
          <t xml:space="preserve">  SECTION B — OVERAGE REVENUE PER SEAT / MONTH  |  =MAX(0, Usage − Included) × Rate</t>
        </is>
      </c>
      <c r="B13" s="38" t="n"/>
      <c r="C13" s="38" t="n"/>
      <c r="D13" s="38" t="n"/>
      <c r="E13" s="38" t="n"/>
    </row>
    <row r="14">
      <c r="A14" s="4" t="inlineStr">
        <is>
          <t>Metric</t>
        </is>
      </c>
      <c r="B14" s="4" t="inlineStr">
        <is>
          <t>P25 (15k calls)</t>
        </is>
      </c>
      <c r="C14" s="4" t="inlineStr">
        <is>
          <t>P50 (25k calls)</t>
        </is>
      </c>
      <c r="D14" s="4" t="inlineStr">
        <is>
          <t>P75 (40k calls)</t>
        </is>
      </c>
      <c r="E14" s="4" t="inlineStr">
        <is>
          <t>Formula (P25 shown)</t>
        </is>
      </c>
    </row>
    <row r="15" ht="18" customHeight="1">
      <c r="A15" s="5" t="inlineStr">
        <is>
          <t>Usage / Seat / Month (calls)</t>
        </is>
      </c>
      <c r="B15" s="28">
        <f>B8</f>
        <v/>
      </c>
      <c r="C15" s="28">
        <f>B9</f>
        <v/>
      </c>
      <c r="D15" s="28">
        <f>B10</f>
        <v/>
      </c>
      <c r="E15" s="7" t="inlineStr">
        <is>
          <t>Pulls from Assumptions</t>
        </is>
      </c>
    </row>
    <row r="16" ht="18" customHeight="1">
      <c r="A16" s="5" t="inlineStr">
        <is>
          <t>Included Threshold (calls)</t>
        </is>
      </c>
      <c r="B16" s="28">
        <f>B6</f>
        <v/>
      </c>
      <c r="C16" s="28">
        <f>B6</f>
        <v/>
      </c>
      <c r="D16" s="28">
        <f>B6</f>
        <v/>
      </c>
      <c r="E16" s="7" t="inlineStr">
        <is>
          <t>Pulls from Assumptions</t>
        </is>
      </c>
    </row>
    <row r="17" ht="18" customHeight="1">
      <c r="A17" s="5" t="inlineStr">
        <is>
          <t>Overage Calls / Seat / Month</t>
        </is>
      </c>
      <c r="B17" s="29">
        <f>MAX(0,B15-B16)</f>
        <v/>
      </c>
      <c r="C17" s="29">
        <f>MAX(0,C15-C16)</f>
        <v/>
      </c>
      <c r="D17" s="29">
        <f>MAX(0,D15-D16)</f>
        <v/>
      </c>
      <c r="E17" s="7">
        <f>MAX(0, Usage − Included)</f>
        <v/>
      </c>
    </row>
    <row r="18" ht="18" customHeight="1">
      <c r="A18" s="5" t="inlineStr">
        <is>
          <t>Overage Revenue / Seat / Month</t>
        </is>
      </c>
      <c r="B18" s="18">
        <f>B17*$B$7</f>
        <v/>
      </c>
      <c r="C18" s="18">
        <f>C17*$B$7</f>
        <v/>
      </c>
      <c r="D18" s="18">
        <f>D17*$B$7</f>
        <v/>
      </c>
      <c r="E18" s="7">
        <f> Overage Calls × Rate</f>
        <v/>
      </c>
    </row>
    <row r="19" ht="18" customHeight="1">
      <c r="A19" s="11" t="inlineStr">
        <is>
          <t>Overage Revenue / Seat / Year</t>
        </is>
      </c>
      <c r="B19" s="30">
        <f>B18*12</f>
        <v/>
      </c>
      <c r="C19" s="30">
        <f>C18*12</f>
        <v/>
      </c>
      <c r="D19" s="30">
        <f>D18*12</f>
        <v/>
      </c>
      <c r="E19" s="7">
        <f> Monthly × 12</f>
        <v/>
      </c>
    </row>
    <row r="20"/>
    <row r="21">
      <c r="A21" s="10" t="n"/>
      <c r="B21" s="10" t="n"/>
      <c r="C21" s="10" t="n"/>
      <c r="D21" s="10" t="n"/>
      <c r="E21" s="10" t="n"/>
    </row>
    <row r="22">
      <c r="A22" s="3" t="inlineStr">
        <is>
          <t xml:space="preserve">  SECTION C — EXPANSION ARR BY DEAL SIZE &amp; TIER  |  Seat ARR + Overage ARR</t>
        </is>
      </c>
      <c r="B22" s="38" t="n"/>
      <c r="C22" s="38" t="n"/>
      <c r="D22" s="38" t="n"/>
      <c r="E22" s="38" t="n"/>
    </row>
    <row r="23">
      <c r="A23" s="4" t="inlineStr">
        <is>
          <t>Deal / Tier</t>
        </is>
      </c>
      <c r="B23" s="4" t="inlineStr">
        <is>
          <t>Seat ARR ($)</t>
        </is>
      </c>
      <c r="C23" s="4" t="inlineStr">
        <is>
          <t>P25 Overage ARR ($)</t>
        </is>
      </c>
      <c r="D23" s="4" t="inlineStr">
        <is>
          <t>P50 Overage ARR ($)</t>
        </is>
      </c>
      <c r="E23" s="4" t="inlineStr">
        <is>
          <t>P75 Overage ARR ($)</t>
        </is>
      </c>
    </row>
    <row r="24">
      <c r="A24" s="31" t="inlineStr">
        <is>
          <t xml:space="preserve">  ── Starter Tier ──</t>
        </is>
      </c>
      <c r="B24" s="39" t="n"/>
      <c r="C24" s="39" t="n"/>
      <c r="D24" s="39" t="n"/>
      <c r="E24" s="40" t="n"/>
    </row>
    <row r="25" ht="18" customHeight="1">
      <c r="A25" s="32" t="inlineStr">
        <is>
          <t xml:space="preserve">  Small (50 seats)</t>
        </is>
      </c>
      <c r="B25" s="25">
        <f>Assumptions!$B$14*'Tier Pricing Matrix'!$B$13*12</f>
        <v/>
      </c>
      <c r="C25" s="33">
        <f>Assumptions!$B$14*B19</f>
        <v/>
      </c>
      <c r="D25" s="33">
        <f>Assumptions!$B$14*C19</f>
        <v/>
      </c>
      <c r="E25" s="33">
        <f>Assumptions!$B$14*D19</f>
        <v/>
      </c>
    </row>
    <row r="26" ht="18" customHeight="1">
      <c r="A26" s="32" t="inlineStr">
        <is>
          <t xml:space="preserve">  Mid (200 seats)</t>
        </is>
      </c>
      <c r="B26" s="25">
        <f>Assumptions!$B$15*'Tier Pricing Matrix'!$B$13*12</f>
        <v/>
      </c>
      <c r="C26" s="33">
        <f>Assumptions!$B$15*B19</f>
        <v/>
      </c>
      <c r="D26" s="33">
        <f>Assumptions!$B$15*C19</f>
        <v/>
      </c>
      <c r="E26" s="33">
        <f>Assumptions!$B$15*D19</f>
        <v/>
      </c>
    </row>
    <row r="27" ht="18" customHeight="1">
      <c r="A27" s="32" t="inlineStr">
        <is>
          <t xml:space="preserve">  Large (500 seats)</t>
        </is>
      </c>
      <c r="B27" s="25">
        <f>Assumptions!$B$16*'Tier Pricing Matrix'!$B$13*12</f>
        <v/>
      </c>
      <c r="C27" s="33">
        <f>Assumptions!$B$16*B19</f>
        <v/>
      </c>
      <c r="D27" s="33">
        <f>Assumptions!$B$16*C19</f>
        <v/>
      </c>
      <c r="E27" s="33">
        <f>Assumptions!$B$16*D19</f>
        <v/>
      </c>
    </row>
    <row r="28"/>
    <row r="29">
      <c r="A29" s="31" t="inlineStr">
        <is>
          <t xml:space="preserve">  ── Growth Tier ──</t>
        </is>
      </c>
      <c r="B29" s="39" t="n"/>
      <c r="C29" s="39" t="n"/>
      <c r="D29" s="39" t="n"/>
      <c r="E29" s="40" t="n"/>
    </row>
    <row r="30" ht="18" customHeight="1">
      <c r="A30" s="32" t="inlineStr">
        <is>
          <t xml:space="preserve">  Small (50 seats)</t>
        </is>
      </c>
      <c r="B30" s="25">
        <f>Assumptions!$B$14*'Tier Pricing Matrix'!$C$13*12</f>
        <v/>
      </c>
      <c r="C30" s="33">
        <f>Assumptions!$B$14*B19</f>
        <v/>
      </c>
      <c r="D30" s="33">
        <f>Assumptions!$B$14*C19</f>
        <v/>
      </c>
      <c r="E30" s="33">
        <f>Assumptions!$B$14*D19</f>
        <v/>
      </c>
    </row>
    <row r="31" ht="18" customHeight="1">
      <c r="A31" s="32" t="inlineStr">
        <is>
          <t xml:space="preserve">  Mid (200 seats)</t>
        </is>
      </c>
      <c r="B31" s="25">
        <f>Assumptions!$B$15*'Tier Pricing Matrix'!$C$13*12</f>
        <v/>
      </c>
      <c r="C31" s="33">
        <f>Assumptions!$B$15*B19</f>
        <v/>
      </c>
      <c r="D31" s="33">
        <f>Assumptions!$B$15*C19</f>
        <v/>
      </c>
      <c r="E31" s="33">
        <f>Assumptions!$B$15*D19</f>
        <v/>
      </c>
    </row>
    <row r="32" ht="18" customHeight="1">
      <c r="A32" s="32" t="inlineStr">
        <is>
          <t xml:space="preserve">  Large (500 seats)</t>
        </is>
      </c>
      <c r="B32" s="25">
        <f>Assumptions!$B$16*'Tier Pricing Matrix'!$C$13*12</f>
        <v/>
      </c>
      <c r="C32" s="33">
        <f>Assumptions!$B$16*B19</f>
        <v/>
      </c>
      <c r="D32" s="33">
        <f>Assumptions!$B$16*C19</f>
        <v/>
      </c>
      <c r="E32" s="33">
        <f>Assumptions!$B$16*D19</f>
        <v/>
      </c>
    </row>
    <row r="33"/>
    <row r="34">
      <c r="A34" s="31" t="inlineStr">
        <is>
          <t xml:space="preserve">  ── Enterprise Tier ──</t>
        </is>
      </c>
      <c r="B34" s="39" t="n"/>
      <c r="C34" s="39" t="n"/>
      <c r="D34" s="39" t="n"/>
      <c r="E34" s="40" t="n"/>
    </row>
    <row r="35" ht="18" customHeight="1">
      <c r="A35" s="32" t="inlineStr">
        <is>
          <t xml:space="preserve">  Small (50 seats)</t>
        </is>
      </c>
      <c r="B35" s="25">
        <f>Assumptions!$B$14*'Tier Pricing Matrix'!$D$13*12</f>
        <v/>
      </c>
      <c r="C35" s="33">
        <f>Assumptions!$B$14*B19</f>
        <v/>
      </c>
      <c r="D35" s="33">
        <f>Assumptions!$B$14*C19</f>
        <v/>
      </c>
      <c r="E35" s="33">
        <f>Assumptions!$B$14*D19</f>
        <v/>
      </c>
    </row>
    <row r="36" ht="18" customHeight="1">
      <c r="A36" s="32" t="inlineStr">
        <is>
          <t xml:space="preserve">  Mid (200 seats)</t>
        </is>
      </c>
      <c r="B36" s="25">
        <f>Assumptions!$B$15*'Tier Pricing Matrix'!$D$13*12</f>
        <v/>
      </c>
      <c r="C36" s="33">
        <f>Assumptions!$B$15*B19</f>
        <v/>
      </c>
      <c r="D36" s="33">
        <f>Assumptions!$B$15*C19</f>
        <v/>
      </c>
      <c r="E36" s="33">
        <f>Assumptions!$B$15*D19</f>
        <v/>
      </c>
    </row>
    <row r="37" ht="18" customHeight="1">
      <c r="A37" s="32" t="inlineStr">
        <is>
          <t xml:space="preserve">  Large (500 seats)</t>
        </is>
      </c>
      <c r="B37" s="25">
        <f>Assumptions!$B$16*'Tier Pricing Matrix'!$D$13*12</f>
        <v/>
      </c>
      <c r="C37" s="33">
        <f>Assumptions!$B$16*B19</f>
        <v/>
      </c>
      <c r="D37" s="33">
        <f>Assumptions!$B$16*C19</f>
        <v/>
      </c>
      <c r="E37" s="33">
        <f>Assumptions!$B$16*D19</f>
        <v/>
      </c>
    </row>
    <row r="38"/>
    <row r="39">
      <c r="A39" s="3" t="inlineStr">
        <is>
          <t xml:space="preserve">  SECTION D — TOTAL ARR (SEAT + OVERAGE) &amp; EXPANSION MULTIPLIER</t>
        </is>
      </c>
      <c r="B39" s="38" t="n"/>
      <c r="C39" s="38" t="n"/>
      <c r="D39" s="38" t="n"/>
      <c r="E39" s="38" t="n"/>
    </row>
    <row r="40">
      <c r="A40" s="4" t="inlineStr">
        <is>
          <t>Deal / Tier</t>
        </is>
      </c>
      <c r="B40" s="4" t="inlineStr">
        <is>
          <t>Seat ARR ($)</t>
        </is>
      </c>
      <c r="C40" s="4" t="inlineStr">
        <is>
          <t>P25 Total ARR ($)</t>
        </is>
      </c>
      <c r="D40" s="4" t="inlineStr">
        <is>
          <t>P50 Total ARR ($)</t>
        </is>
      </c>
      <c r="E40" s="4" t="inlineStr">
        <is>
          <t>P75 Total ARR ($)</t>
        </is>
      </c>
    </row>
    <row r="41">
      <c r="A41" s="31" t="inlineStr">
        <is>
          <t xml:space="preserve">  ── Starter Tier ──</t>
        </is>
      </c>
      <c r="B41" s="39" t="n"/>
      <c r="C41" s="39" t="n"/>
      <c r="D41" s="39" t="n"/>
      <c r="E41" s="40" t="n"/>
    </row>
    <row r="42" ht="18" customHeight="1">
      <c r="A42" s="32" t="inlineStr">
        <is>
          <t xml:space="preserve">  Small (50 seats)</t>
        </is>
      </c>
      <c r="B42" s="25">
        <f>B25</f>
        <v/>
      </c>
      <c r="C42" s="26">
        <f>B42+C25</f>
        <v/>
      </c>
      <c r="D42" s="26">
        <f>B42+D25</f>
        <v/>
      </c>
      <c r="E42" s="26">
        <f>B42+E25</f>
        <v/>
      </c>
    </row>
    <row r="43" ht="18" customHeight="1">
      <c r="A43" s="32" t="inlineStr">
        <is>
          <t xml:space="preserve">  Mid (200 seats)</t>
        </is>
      </c>
      <c r="B43" s="25">
        <f>B26</f>
        <v/>
      </c>
      <c r="C43" s="26">
        <f>B43+C26</f>
        <v/>
      </c>
      <c r="D43" s="26">
        <f>B43+D26</f>
        <v/>
      </c>
      <c r="E43" s="26">
        <f>B43+E26</f>
        <v/>
      </c>
    </row>
    <row r="44" ht="18" customHeight="1">
      <c r="A44" s="32" t="inlineStr">
        <is>
          <t xml:space="preserve">  Large (500 seats)</t>
        </is>
      </c>
      <c r="B44" s="25">
        <f>B27</f>
        <v/>
      </c>
      <c r="C44" s="26">
        <f>B44+C27</f>
        <v/>
      </c>
      <c r="D44" s="26">
        <f>B44+D27</f>
        <v/>
      </c>
      <c r="E44" s="26">
        <f>B44+E27</f>
        <v/>
      </c>
    </row>
    <row r="45" ht="18" customHeight="1">
      <c r="A45" s="34" t="inlineStr">
        <is>
          <t xml:space="preserve">  Expansion Multiplier (Total ARR ÷ Seat ARR)</t>
        </is>
      </c>
      <c r="B45" s="35" t="inlineStr">
        <is>
          <t>1.0x (baseline)</t>
        </is>
      </c>
      <c r="C45" s="36">
        <f>IFERROR(C42/B42,"-")</f>
        <v/>
      </c>
      <c r="D45" s="36">
        <f>IFERROR(D42/B42,"-")</f>
        <v/>
      </c>
      <c r="E45" s="36">
        <f>IFERROR(E42/B42,"-")</f>
        <v/>
      </c>
    </row>
    <row r="46"/>
    <row r="47">
      <c r="A47" s="31" t="inlineStr">
        <is>
          <t xml:space="preserve">  ── Growth Tier ──</t>
        </is>
      </c>
      <c r="B47" s="39" t="n"/>
      <c r="C47" s="39" t="n"/>
      <c r="D47" s="39" t="n"/>
      <c r="E47" s="40" t="n"/>
    </row>
    <row r="48" ht="18" customHeight="1">
      <c r="A48" s="32" t="inlineStr">
        <is>
          <t xml:space="preserve">  Small (50 seats)</t>
        </is>
      </c>
      <c r="B48" s="25">
        <f>B29</f>
        <v/>
      </c>
      <c r="C48" s="26">
        <f>B48+C29</f>
        <v/>
      </c>
      <c r="D48" s="26">
        <f>B48+D29</f>
        <v/>
      </c>
      <c r="E48" s="26">
        <f>B48+E29</f>
        <v/>
      </c>
    </row>
    <row r="49" ht="18" customHeight="1">
      <c r="A49" s="32" t="inlineStr">
        <is>
          <t xml:space="preserve">  Mid (200 seats)</t>
        </is>
      </c>
      <c r="B49" s="25">
        <f>B30</f>
        <v/>
      </c>
      <c r="C49" s="26">
        <f>B49+C30</f>
        <v/>
      </c>
      <c r="D49" s="26">
        <f>B49+D30</f>
        <v/>
      </c>
      <c r="E49" s="26">
        <f>B49+E30</f>
        <v/>
      </c>
    </row>
    <row r="50" ht="18" customHeight="1">
      <c r="A50" s="32" t="inlineStr">
        <is>
          <t xml:space="preserve">  Large (500 seats)</t>
        </is>
      </c>
      <c r="B50" s="25">
        <f>B31</f>
        <v/>
      </c>
      <c r="C50" s="26">
        <f>B50+C31</f>
        <v/>
      </c>
      <c r="D50" s="26">
        <f>B50+D31</f>
        <v/>
      </c>
      <c r="E50" s="26">
        <f>B50+E31</f>
        <v/>
      </c>
    </row>
    <row r="51" ht="18" customHeight="1">
      <c r="A51" s="34" t="inlineStr">
        <is>
          <t xml:space="preserve">  Expansion Multiplier (Total ARR ÷ Seat ARR)</t>
        </is>
      </c>
      <c r="B51" s="35" t="inlineStr">
        <is>
          <t>1.0x (baseline)</t>
        </is>
      </c>
      <c r="C51" s="36">
        <f>IFERROR(C48/B48,"-")</f>
        <v/>
      </c>
      <c r="D51" s="36">
        <f>IFERROR(D48/B48,"-")</f>
        <v/>
      </c>
      <c r="E51" s="36">
        <f>IFERROR(E48/B48,"-")</f>
        <v/>
      </c>
    </row>
    <row r="52"/>
    <row r="53">
      <c r="A53" s="31" t="inlineStr">
        <is>
          <t xml:space="preserve">  ── Enterprise Tier ──</t>
        </is>
      </c>
      <c r="B53" s="39" t="n"/>
      <c r="C53" s="39" t="n"/>
      <c r="D53" s="39" t="n"/>
      <c r="E53" s="40" t="n"/>
    </row>
    <row r="54" ht="18" customHeight="1">
      <c r="A54" s="32" t="inlineStr">
        <is>
          <t xml:space="preserve">  Small (50 seats)</t>
        </is>
      </c>
      <c r="B54" s="25">
        <f>B33</f>
        <v/>
      </c>
      <c r="C54" s="26">
        <f>B54+C33</f>
        <v/>
      </c>
      <c r="D54" s="26">
        <f>B54+D33</f>
        <v/>
      </c>
      <c r="E54" s="26">
        <f>B54+E33</f>
        <v/>
      </c>
    </row>
    <row r="55" ht="18" customHeight="1">
      <c r="A55" s="32" t="inlineStr">
        <is>
          <t xml:space="preserve">  Mid (200 seats)</t>
        </is>
      </c>
      <c r="B55" s="25">
        <f>B34</f>
        <v/>
      </c>
      <c r="C55" s="26">
        <f>B55+C34</f>
        <v/>
      </c>
      <c r="D55" s="26">
        <f>B55+D34</f>
        <v/>
      </c>
      <c r="E55" s="26">
        <f>B55+E34</f>
        <v/>
      </c>
    </row>
    <row r="56" ht="18" customHeight="1">
      <c r="A56" s="32" t="inlineStr">
        <is>
          <t xml:space="preserve">  Large (500 seats)</t>
        </is>
      </c>
      <c r="B56" s="25">
        <f>B35</f>
        <v/>
      </c>
      <c r="C56" s="26">
        <f>B56+C35</f>
        <v/>
      </c>
      <c r="D56" s="26">
        <f>B56+D35</f>
        <v/>
      </c>
      <c r="E56" s="26">
        <f>B56+E35</f>
        <v/>
      </c>
    </row>
    <row r="57" ht="18" customHeight="1">
      <c r="A57" s="34" t="inlineStr">
        <is>
          <t xml:space="preserve">  Expansion Multiplier (Total ARR ÷ Seat ARR)</t>
        </is>
      </c>
      <c r="B57" s="35" t="inlineStr">
        <is>
          <t>1.0x (baseline)</t>
        </is>
      </c>
      <c r="C57" s="36">
        <f>IFERROR(C54/B54,"-")</f>
        <v/>
      </c>
      <c r="D57" s="36">
        <f>IFERROR(D54/B54,"-")</f>
        <v/>
      </c>
      <c r="E57" s="36">
        <f>IFERROR(E54/B54,"-")</f>
        <v/>
      </c>
    </row>
    <row r="58"/>
    <row r="59">
      <c r="A59" s="37" t="inlineStr">
        <is>
          <t>FLAG: If any Expansion Multiplier exceeds 10x, escalate for revenue recognition and billing system review.</t>
        </is>
      </c>
      <c r="B59" s="39" t="n"/>
      <c r="C59" s="39" t="n"/>
      <c r="D59" s="39" t="n"/>
      <c r="E59" s="40" t="n"/>
    </row>
  </sheetData>
  <mergeCells count="18">
    <mergeCell ref="A39:E39"/>
    <mergeCell ref="A34:E34"/>
    <mergeCell ref="A29:E29"/>
    <mergeCell ref="A4:E4"/>
    <mergeCell ref="A53:E53"/>
    <mergeCell ref="A59:E59"/>
    <mergeCell ref="A24:E24"/>
    <mergeCell ref="A2:E2"/>
    <mergeCell ref="A41:E41"/>
    <mergeCell ref="C8:E8"/>
    <mergeCell ref="C9:E9"/>
    <mergeCell ref="A47:E47"/>
    <mergeCell ref="A1:E1"/>
    <mergeCell ref="A13:E13"/>
    <mergeCell ref="C7:E7"/>
    <mergeCell ref="A22:E22"/>
    <mergeCell ref="C6:E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2026-06-10T00:26:40Z</dcterms:created>
  <dcterms:modified xsi:type="dcterms:W3CDTF">2026-06-10T00:28:32Z</dcterms:modified>
</cp:coreProperties>
</file>